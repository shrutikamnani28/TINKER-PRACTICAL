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6d42f8df655d46/Documents/"/>
    </mc:Choice>
  </mc:AlternateContent>
  <xr:revisionPtr revIDLastSave="0" documentId="8_{CD33344F-8D9F-44CB-961C-ADB4ED7090E5}" xr6:coauthVersionLast="47" xr6:coauthVersionMax="47" xr10:uidLastSave="{00000000-0000-0000-0000-000000000000}"/>
  <bookViews>
    <workbookView xWindow="-98" yWindow="-98" windowWidth="21795" windowHeight="12975" activeTab="1" xr2:uid="{3E7A665D-33A6-4137-B01E-3C742D34B14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2" i="2"/>
  <c r="E9" i="2"/>
  <c r="F5" i="2" l="1"/>
  <c r="F11" i="2"/>
  <c r="F2" i="2"/>
  <c r="E3" i="2"/>
  <c r="E4" i="2"/>
  <c r="E5" i="2"/>
  <c r="E6" i="2"/>
  <c r="E7" i="2"/>
  <c r="E8" i="2"/>
  <c r="E10" i="2"/>
  <c r="E11" i="2"/>
  <c r="E2" i="2"/>
  <c r="D3" i="2"/>
  <c r="F3" i="2" s="1"/>
  <c r="D4" i="2"/>
  <c r="F4" i="2" s="1"/>
  <c r="D5" i="2"/>
  <c r="D6" i="2"/>
  <c r="F6" i="2" s="1"/>
  <c r="D7" i="2"/>
  <c r="F7" i="2" s="1"/>
  <c r="D8" i="2"/>
  <c r="D9" i="2"/>
  <c r="F9" i="2" s="1"/>
  <c r="D10" i="2"/>
  <c r="F10" i="2" s="1"/>
  <c r="D11" i="2"/>
  <c r="D2" i="2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" i="1"/>
  <c r="F8" i="2" l="1"/>
  <c r="H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" i="1"/>
</calcChain>
</file>

<file path=xl/sharedStrings.xml><?xml version="1.0" encoding="utf-8"?>
<sst xmlns="http://schemas.openxmlformats.org/spreadsheetml/2006/main" count="80" uniqueCount="65">
  <si>
    <t>Name</t>
  </si>
  <si>
    <t>PRN</t>
  </si>
  <si>
    <t>Maths</t>
  </si>
  <si>
    <t>Physics</t>
  </si>
  <si>
    <t>Chemistry</t>
  </si>
  <si>
    <t>English</t>
  </si>
  <si>
    <t>History</t>
  </si>
  <si>
    <t>Total</t>
  </si>
  <si>
    <t>Grade</t>
  </si>
  <si>
    <t>Aditi Sharma</t>
  </si>
  <si>
    <t>A</t>
  </si>
  <si>
    <t>Rohan Mehta</t>
  </si>
  <si>
    <t>B</t>
  </si>
  <si>
    <t>Sneha Patil</t>
  </si>
  <si>
    <t>A+</t>
  </si>
  <si>
    <t>Arjun Desai</t>
  </si>
  <si>
    <t>C</t>
  </si>
  <si>
    <t>Neha Joshi</t>
  </si>
  <si>
    <t>Karan Singh</t>
  </si>
  <si>
    <t>Priya Nair</t>
  </si>
  <si>
    <t>Rahul Verma</t>
  </si>
  <si>
    <t>D</t>
  </si>
  <si>
    <t>Ishita Rane</t>
  </si>
  <si>
    <t>Aman Kapoor</t>
  </si>
  <si>
    <t>Tanya Kulkarni</t>
  </si>
  <si>
    <t>Devansh Rao</t>
  </si>
  <si>
    <t>Meera Shah</t>
  </si>
  <si>
    <t>Nikhil Jain</t>
  </si>
  <si>
    <t>Simran Kaur</t>
  </si>
  <si>
    <t>Aditya Thakur</t>
  </si>
  <si>
    <t>Riya Deshmukh</t>
  </si>
  <si>
    <t>Harsh Vyas</t>
  </si>
  <si>
    <t>Ananya Ghosh</t>
  </si>
  <si>
    <t>Varun Bhatia</t>
  </si>
  <si>
    <t>Percentage</t>
  </si>
  <si>
    <t>Result</t>
  </si>
  <si>
    <t>Distinction</t>
  </si>
  <si>
    <t>no</t>
  </si>
  <si>
    <t>Employee ID</t>
  </si>
  <si>
    <t>Full Name</t>
  </si>
  <si>
    <t xml:space="preserve">        Basic Salary (INR)</t>
  </si>
  <si>
    <t>STU001</t>
  </si>
  <si>
    <t xml:space="preserve">    Aditi Sharma</t>
  </si>
  <si>
    <t>STU002</t>
  </si>
  <si>
    <t xml:space="preserve">    Rohan Mehta</t>
  </si>
  <si>
    <t>STU003</t>
  </si>
  <si>
    <t xml:space="preserve">    Priya Desai</t>
  </si>
  <si>
    <t>STU004</t>
  </si>
  <si>
    <t xml:space="preserve">    Kunal Joshi</t>
  </si>
  <si>
    <t>STU005</t>
  </si>
  <si>
    <t xml:space="preserve">    Sneha Kapoor</t>
  </si>
  <si>
    <t>STU006</t>
  </si>
  <si>
    <t xml:space="preserve">    Arjun Verma</t>
  </si>
  <si>
    <t>STU007</t>
  </si>
  <si>
    <t xml:space="preserve">    Neha Singh</t>
  </si>
  <si>
    <t>STU008</t>
  </si>
  <si>
    <t xml:space="preserve">    Manish Rao</t>
  </si>
  <si>
    <t>STU009</t>
  </si>
  <si>
    <t xml:space="preserve">    Isha Kulkarni</t>
  </si>
  <si>
    <t>STU010</t>
  </si>
  <si>
    <t xml:space="preserve">    Rahul Chatterjee</t>
  </si>
  <si>
    <t>HRA</t>
  </si>
  <si>
    <t>DA</t>
  </si>
  <si>
    <t>Total Salary</t>
  </si>
  <si>
    <t>Taxable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</si>
</sst>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9F53B-59D1-4759-B285-043A35F7346B}">
  <dimension ref="A1:L21"/>
  <sheetViews>
    <sheetView zoomScale="92" workbookViewId="0">
      <selection activeCell="P3" sqref="P3"/>
    </sheetView>
  </sheetViews>
  <sheetFormatPr defaultRowHeight="14.25" x14ac:dyDescent="0.45"/>
  <cols>
    <col min="1" max="1" width="11.3984375" customWidth="1"/>
    <col min="9" max="9" width="11.3984375" customWidth="1"/>
    <col min="12" max="12" width="13" customWidth="1"/>
  </cols>
  <sheetData>
    <row r="1" spans="1:12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34</v>
      </c>
      <c r="J1" s="1" t="s">
        <v>8</v>
      </c>
      <c r="K1" s="1" t="s">
        <v>35</v>
      </c>
      <c r="L1" s="1" t="s">
        <v>36</v>
      </c>
    </row>
    <row r="2" spans="1:12" ht="28.5" x14ac:dyDescent="0.45">
      <c r="A2" s="2" t="s">
        <v>9</v>
      </c>
      <c r="B2" s="2">
        <v>1001</v>
      </c>
      <c r="C2" s="2">
        <v>88</v>
      </c>
      <c r="D2" s="2">
        <v>84</v>
      </c>
      <c r="E2" s="2">
        <v>79</v>
      </c>
      <c r="F2" s="2">
        <v>91</v>
      </c>
      <c r="G2" s="2">
        <v>85</v>
      </c>
      <c r="H2" s="2">
        <v>427</v>
      </c>
      <c r="I2" s="2">
        <v>85.4</v>
      </c>
      <c r="J2" s="2" t="s">
        <v>10</v>
      </c>
      <c r="K2" t="str">
        <f>IF(AND(C2&gt;=50,D2&gt;=50,E2&gt;=50,F2&gt;=50,G2&gt;=50),"Pass","Fail")</f>
        <v>Pass</v>
      </c>
      <c r="L2" t="str">
        <f>IF(MIN(I2&gt;=75,K2="Pass"), "Distinction", "no")</f>
        <v>Distinction</v>
      </c>
    </row>
    <row r="3" spans="1:12" ht="28.5" x14ac:dyDescent="0.45">
      <c r="A3" s="2" t="s">
        <v>11</v>
      </c>
      <c r="B3" s="2">
        <v>1002</v>
      </c>
      <c r="C3" s="2">
        <v>76</v>
      </c>
      <c r="D3" s="2">
        <v>81</v>
      </c>
      <c r="E3" s="2">
        <v>74</v>
      </c>
      <c r="F3" s="2">
        <v>78</v>
      </c>
      <c r="G3" s="2">
        <v>80</v>
      </c>
      <c r="H3" s="2">
        <v>389</v>
      </c>
      <c r="I3" s="2">
        <v>77.8</v>
      </c>
      <c r="J3" s="2" t="s">
        <v>12</v>
      </c>
      <c r="K3" t="str">
        <f t="shared" ref="K3:K21" si="0">IF(AND(C3&gt;=50,D3&gt;=50,E3&gt;=50,F3&gt;=50,G3&gt;=50),"Pass","Fail")</f>
        <v>Pass</v>
      </c>
      <c r="L3" t="str">
        <f t="shared" ref="L3:L20" si="1">IF(MIN(I3&gt;=75,K3="Pass"), "Distinction", "no")</f>
        <v>Distinction</v>
      </c>
    </row>
    <row r="4" spans="1:12" ht="28.5" x14ac:dyDescent="0.45">
      <c r="A4" s="2" t="s">
        <v>13</v>
      </c>
      <c r="B4" s="2">
        <v>1003</v>
      </c>
      <c r="C4" s="2">
        <v>92</v>
      </c>
      <c r="D4" s="2">
        <v>89</v>
      </c>
      <c r="E4" s="2">
        <v>90</v>
      </c>
      <c r="F4" s="2">
        <v>94</v>
      </c>
      <c r="G4" s="2">
        <v>88</v>
      </c>
      <c r="H4" s="2">
        <v>453</v>
      </c>
      <c r="I4" s="2">
        <v>90.6</v>
      </c>
      <c r="J4" s="2" t="s">
        <v>14</v>
      </c>
      <c r="K4" t="str">
        <f t="shared" si="0"/>
        <v>Pass</v>
      </c>
      <c r="L4" t="str">
        <f t="shared" si="1"/>
        <v>Distinction</v>
      </c>
    </row>
    <row r="5" spans="1:12" ht="28.5" x14ac:dyDescent="0.45">
      <c r="A5" s="2" t="s">
        <v>15</v>
      </c>
      <c r="B5" s="2">
        <v>1004</v>
      </c>
      <c r="C5" s="2">
        <v>65</v>
      </c>
      <c r="D5" s="2">
        <v>70</v>
      </c>
      <c r="E5" s="2">
        <v>68</v>
      </c>
      <c r="F5" s="2">
        <v>72</v>
      </c>
      <c r="G5" s="2">
        <v>66</v>
      </c>
      <c r="H5" s="2">
        <v>341</v>
      </c>
      <c r="I5" s="2">
        <v>68.2</v>
      </c>
      <c r="J5" s="2" t="s">
        <v>16</v>
      </c>
      <c r="K5" t="str">
        <f t="shared" si="0"/>
        <v>Pass</v>
      </c>
      <c r="L5" t="str">
        <f t="shared" si="1"/>
        <v>no</v>
      </c>
    </row>
    <row r="6" spans="1:12" ht="28.5" x14ac:dyDescent="0.45">
      <c r="A6" s="2" t="s">
        <v>17</v>
      </c>
      <c r="B6" s="2">
        <v>1005</v>
      </c>
      <c r="C6" s="2">
        <v>85</v>
      </c>
      <c r="D6" s="2">
        <v>87</v>
      </c>
      <c r="E6" s="2">
        <v>82</v>
      </c>
      <c r="F6" s="2">
        <v>88</v>
      </c>
      <c r="G6" s="2">
        <v>90</v>
      </c>
      <c r="H6" s="2">
        <v>432</v>
      </c>
      <c r="I6" s="2">
        <v>86.4</v>
      </c>
      <c r="J6" s="2" t="s">
        <v>10</v>
      </c>
      <c r="K6" t="str">
        <f t="shared" si="0"/>
        <v>Pass</v>
      </c>
      <c r="L6" t="str">
        <f t="shared" si="1"/>
        <v>Distinction</v>
      </c>
    </row>
    <row r="7" spans="1:12" ht="28.5" x14ac:dyDescent="0.45">
      <c r="A7" s="2" t="s">
        <v>18</v>
      </c>
      <c r="B7" s="2">
        <v>1006</v>
      </c>
      <c r="C7" s="2">
        <v>78</v>
      </c>
      <c r="D7" s="2">
        <v>75</v>
      </c>
      <c r="E7" s="2">
        <v>80</v>
      </c>
      <c r="F7" s="2">
        <v>76</v>
      </c>
      <c r="G7" s="2">
        <v>74</v>
      </c>
      <c r="H7" s="2">
        <v>383</v>
      </c>
      <c r="I7" s="2">
        <v>76.599999999999994</v>
      </c>
      <c r="J7" s="2" t="s">
        <v>12</v>
      </c>
      <c r="K7" t="str">
        <f t="shared" si="0"/>
        <v>Pass</v>
      </c>
      <c r="L7" t="str">
        <f t="shared" si="1"/>
        <v>Distinction</v>
      </c>
    </row>
    <row r="8" spans="1:12" x14ac:dyDescent="0.45">
      <c r="A8" s="2" t="s">
        <v>19</v>
      </c>
      <c r="B8" s="2">
        <v>1007</v>
      </c>
      <c r="C8" s="2">
        <v>90</v>
      </c>
      <c r="D8" s="2">
        <v>92</v>
      </c>
      <c r="E8" s="2">
        <v>88</v>
      </c>
      <c r="F8" s="2">
        <v>93</v>
      </c>
      <c r="G8" s="2">
        <v>91</v>
      </c>
      <c r="H8" s="2">
        <v>454</v>
      </c>
      <c r="I8" s="2">
        <v>90.8</v>
      </c>
      <c r="J8" s="2" t="s">
        <v>14</v>
      </c>
      <c r="K8" t="str">
        <f t="shared" si="0"/>
        <v>Pass</v>
      </c>
      <c r="L8" t="str">
        <f t="shared" si="1"/>
        <v>Distinction</v>
      </c>
    </row>
    <row r="9" spans="1:12" ht="28.5" x14ac:dyDescent="0.45">
      <c r="A9" s="2" t="s">
        <v>20</v>
      </c>
      <c r="B9" s="2">
        <v>1008</v>
      </c>
      <c r="C9" s="2">
        <v>60</v>
      </c>
      <c r="D9" s="2">
        <v>65</v>
      </c>
      <c r="E9" s="2">
        <v>62</v>
      </c>
      <c r="F9" s="2">
        <v>58</v>
      </c>
      <c r="G9" s="2">
        <v>64</v>
      </c>
      <c r="H9" s="2">
        <v>309</v>
      </c>
      <c r="I9" s="2">
        <v>61.8</v>
      </c>
      <c r="J9" s="2" t="s">
        <v>21</v>
      </c>
      <c r="K9" t="str">
        <f t="shared" si="0"/>
        <v>Pass</v>
      </c>
      <c r="L9" t="str">
        <f t="shared" si="1"/>
        <v>no</v>
      </c>
    </row>
    <row r="10" spans="1:12" ht="28.5" x14ac:dyDescent="0.45">
      <c r="A10" s="2" t="s">
        <v>22</v>
      </c>
      <c r="B10" s="2">
        <v>1009</v>
      </c>
      <c r="C10" s="2">
        <v>82</v>
      </c>
      <c r="D10" s="2">
        <v>85</v>
      </c>
      <c r="E10" s="2">
        <v>80</v>
      </c>
      <c r="F10" s="2">
        <v>86</v>
      </c>
      <c r="G10" s="2">
        <v>83</v>
      </c>
      <c r="H10" s="2">
        <v>416</v>
      </c>
      <c r="I10" s="2">
        <v>83.2</v>
      </c>
      <c r="J10" s="2" t="s">
        <v>10</v>
      </c>
      <c r="K10" t="str">
        <f t="shared" si="0"/>
        <v>Pass</v>
      </c>
      <c r="L10" t="str">
        <f t="shared" si="1"/>
        <v>Distinction</v>
      </c>
    </row>
    <row r="11" spans="1:12" ht="28.5" x14ac:dyDescent="0.45">
      <c r="A11" s="2" t="s">
        <v>23</v>
      </c>
      <c r="B11" s="2">
        <v>1010</v>
      </c>
      <c r="C11" s="2">
        <v>74</v>
      </c>
      <c r="D11" s="2">
        <v>56</v>
      </c>
      <c r="E11" s="2">
        <v>76</v>
      </c>
      <c r="F11" s="2">
        <v>79</v>
      </c>
      <c r="G11" s="2">
        <v>75</v>
      </c>
      <c r="H11" s="2">
        <v>382</v>
      </c>
      <c r="I11" s="2">
        <v>76.400000000000006</v>
      </c>
      <c r="J11" s="2" t="s">
        <v>12</v>
      </c>
      <c r="K11" t="str">
        <f t="shared" si="0"/>
        <v>Pass</v>
      </c>
      <c r="L11" t="str">
        <f t="shared" si="1"/>
        <v>Distinction</v>
      </c>
    </row>
    <row r="12" spans="1:12" ht="28.5" x14ac:dyDescent="0.45">
      <c r="A12" s="2" t="s">
        <v>24</v>
      </c>
      <c r="B12" s="2">
        <v>1011</v>
      </c>
      <c r="C12" s="2">
        <v>95</v>
      </c>
      <c r="D12" s="2">
        <v>93</v>
      </c>
      <c r="E12" s="2">
        <v>43</v>
      </c>
      <c r="F12" s="2">
        <v>94</v>
      </c>
      <c r="G12" s="2">
        <v>92</v>
      </c>
      <c r="H12" s="2">
        <v>470</v>
      </c>
      <c r="I12" s="2">
        <v>94</v>
      </c>
      <c r="J12" s="2" t="s">
        <v>14</v>
      </c>
      <c r="K12" t="str">
        <f t="shared" si="0"/>
        <v>Fail</v>
      </c>
      <c r="L12" t="str">
        <f t="shared" si="1"/>
        <v>no</v>
      </c>
    </row>
    <row r="13" spans="1:12" ht="28.5" x14ac:dyDescent="0.45">
      <c r="A13" s="2" t="s">
        <v>25</v>
      </c>
      <c r="B13" s="2">
        <v>1012</v>
      </c>
      <c r="C13" s="2">
        <v>68</v>
      </c>
      <c r="D13" s="2">
        <v>70</v>
      </c>
      <c r="E13" s="2">
        <v>72</v>
      </c>
      <c r="F13" s="2">
        <v>69</v>
      </c>
      <c r="G13" s="2">
        <v>71</v>
      </c>
      <c r="H13" s="2">
        <v>350</v>
      </c>
      <c r="I13" s="2">
        <v>70</v>
      </c>
      <c r="J13" s="2" t="s">
        <v>16</v>
      </c>
      <c r="K13" t="str">
        <f t="shared" si="0"/>
        <v>Pass</v>
      </c>
      <c r="L13" t="str">
        <f t="shared" si="1"/>
        <v>no</v>
      </c>
    </row>
    <row r="14" spans="1:12" ht="28.5" x14ac:dyDescent="0.45">
      <c r="A14" s="2" t="s">
        <v>26</v>
      </c>
      <c r="B14" s="2">
        <v>1013</v>
      </c>
      <c r="C14" s="2">
        <v>88</v>
      </c>
      <c r="D14" s="2">
        <v>86</v>
      </c>
      <c r="E14" s="2">
        <v>84</v>
      </c>
      <c r="F14" s="2">
        <v>89</v>
      </c>
      <c r="G14" s="2">
        <v>87</v>
      </c>
      <c r="H14" s="2">
        <v>434</v>
      </c>
      <c r="I14" s="2">
        <v>86.8</v>
      </c>
      <c r="J14" s="2" t="s">
        <v>10</v>
      </c>
      <c r="K14" t="str">
        <f t="shared" si="0"/>
        <v>Pass</v>
      </c>
      <c r="L14" t="str">
        <f t="shared" si="1"/>
        <v>Distinction</v>
      </c>
    </row>
    <row r="15" spans="1:12" x14ac:dyDescent="0.45">
      <c r="A15" s="2" t="s">
        <v>27</v>
      </c>
      <c r="B15" s="2">
        <v>1014</v>
      </c>
      <c r="C15" s="2">
        <v>79</v>
      </c>
      <c r="D15" s="2">
        <v>77</v>
      </c>
      <c r="E15" s="2">
        <v>75</v>
      </c>
      <c r="F15" s="2">
        <v>80</v>
      </c>
      <c r="G15" s="2">
        <v>78</v>
      </c>
      <c r="H15" s="2">
        <v>389</v>
      </c>
      <c r="I15" s="2">
        <v>77.8</v>
      </c>
      <c r="J15" s="2" t="s">
        <v>12</v>
      </c>
      <c r="K15" t="str">
        <f t="shared" si="0"/>
        <v>Pass</v>
      </c>
      <c r="L15" t="str">
        <f t="shared" si="1"/>
        <v>Distinction</v>
      </c>
    </row>
    <row r="16" spans="1:12" ht="28.5" x14ac:dyDescent="0.45">
      <c r="A16" s="2" t="s">
        <v>28</v>
      </c>
      <c r="B16" s="2">
        <v>1015</v>
      </c>
      <c r="C16" s="2">
        <v>91</v>
      </c>
      <c r="D16" s="2">
        <v>90</v>
      </c>
      <c r="E16" s="2">
        <v>89</v>
      </c>
      <c r="F16" s="2">
        <v>92</v>
      </c>
      <c r="G16" s="2">
        <v>90</v>
      </c>
      <c r="H16" s="2">
        <v>452</v>
      </c>
      <c r="I16" s="2">
        <v>90.4</v>
      </c>
      <c r="J16" s="2" t="s">
        <v>14</v>
      </c>
      <c r="K16" t="str">
        <f t="shared" si="0"/>
        <v>Pass</v>
      </c>
      <c r="L16" t="str">
        <f t="shared" si="1"/>
        <v>Distinction</v>
      </c>
    </row>
    <row r="17" spans="1:12" ht="28.5" x14ac:dyDescent="0.45">
      <c r="A17" s="2" t="s">
        <v>29</v>
      </c>
      <c r="B17" s="2">
        <v>1016</v>
      </c>
      <c r="C17" s="2">
        <v>66</v>
      </c>
      <c r="D17" s="2">
        <v>64</v>
      </c>
      <c r="E17" s="2">
        <v>34</v>
      </c>
      <c r="F17" s="2">
        <v>68</v>
      </c>
      <c r="G17" s="2">
        <v>65</v>
      </c>
      <c r="H17" s="2">
        <v>325</v>
      </c>
      <c r="I17" s="2">
        <v>65</v>
      </c>
      <c r="J17" s="2" t="s">
        <v>21</v>
      </c>
      <c r="K17" t="str">
        <f t="shared" si="0"/>
        <v>Fail</v>
      </c>
      <c r="L17" t="str">
        <f t="shared" si="1"/>
        <v>no</v>
      </c>
    </row>
    <row r="18" spans="1:12" ht="28.5" x14ac:dyDescent="0.45">
      <c r="A18" s="2" t="s">
        <v>30</v>
      </c>
      <c r="B18" s="2">
        <v>1017</v>
      </c>
      <c r="C18" s="2">
        <v>84</v>
      </c>
      <c r="D18" s="2">
        <v>68</v>
      </c>
      <c r="E18" s="2">
        <v>85</v>
      </c>
      <c r="F18" s="2">
        <v>83</v>
      </c>
      <c r="G18" s="2">
        <v>86</v>
      </c>
      <c r="H18" s="2">
        <v>420</v>
      </c>
      <c r="I18" s="2">
        <v>84</v>
      </c>
      <c r="J18" s="2" t="s">
        <v>10</v>
      </c>
      <c r="K18" t="str">
        <f t="shared" si="0"/>
        <v>Pass</v>
      </c>
      <c r="L18" t="str">
        <f t="shared" si="1"/>
        <v>Distinction</v>
      </c>
    </row>
    <row r="19" spans="1:12" x14ac:dyDescent="0.45">
      <c r="A19" s="2" t="s">
        <v>31</v>
      </c>
      <c r="B19" s="2">
        <v>1018</v>
      </c>
      <c r="C19" s="2">
        <v>73</v>
      </c>
      <c r="D19" s="2">
        <v>70</v>
      </c>
      <c r="E19" s="2">
        <v>72</v>
      </c>
      <c r="F19" s="2">
        <v>75</v>
      </c>
      <c r="G19" s="2">
        <v>74</v>
      </c>
      <c r="H19" s="2">
        <v>364</v>
      </c>
      <c r="I19" s="2">
        <v>72.8</v>
      </c>
      <c r="J19" s="2" t="s">
        <v>16</v>
      </c>
      <c r="K19" t="str">
        <f t="shared" si="0"/>
        <v>Pass</v>
      </c>
      <c r="L19" t="str">
        <f t="shared" si="1"/>
        <v>no</v>
      </c>
    </row>
    <row r="20" spans="1:12" ht="28.5" x14ac:dyDescent="0.45">
      <c r="A20" s="2" t="s">
        <v>32</v>
      </c>
      <c r="B20" s="2">
        <v>1019</v>
      </c>
      <c r="C20" s="2">
        <v>89</v>
      </c>
      <c r="D20" s="2">
        <v>87</v>
      </c>
      <c r="E20" s="2">
        <v>90</v>
      </c>
      <c r="F20" s="2">
        <v>88</v>
      </c>
      <c r="G20" s="2">
        <v>86</v>
      </c>
      <c r="H20" s="2">
        <v>440</v>
      </c>
      <c r="I20" s="2">
        <v>88</v>
      </c>
      <c r="J20" s="2" t="s">
        <v>10</v>
      </c>
      <c r="K20" t="str">
        <f t="shared" si="0"/>
        <v>Pass</v>
      </c>
      <c r="L20" t="str">
        <f t="shared" si="1"/>
        <v>Distinction</v>
      </c>
    </row>
    <row r="21" spans="1:12" x14ac:dyDescent="0.45">
      <c r="A21" s="2" t="s">
        <v>33</v>
      </c>
      <c r="B21" s="2">
        <v>1020</v>
      </c>
      <c r="C21" s="2">
        <v>77</v>
      </c>
      <c r="D21" s="2">
        <v>79</v>
      </c>
      <c r="E21" s="2">
        <v>76</v>
      </c>
      <c r="F21" s="2">
        <v>27</v>
      </c>
      <c r="G21" s="2">
        <v>78</v>
      </c>
      <c r="H21">
        <f>SUM(H2:H20)</f>
        <v>7630</v>
      </c>
      <c r="I21" s="2">
        <v>78</v>
      </c>
      <c r="J21" s="2" t="s">
        <v>16</v>
      </c>
      <c r="K21" t="str">
        <f t="shared" si="0"/>
        <v>Fail</v>
      </c>
      <c r="L2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C9652-0E36-4E16-BDF0-8D3712A6E775}">
  <dimension ref="A1:G11"/>
  <sheetViews>
    <sheetView tabSelected="1" zoomScaleNormal="100" workbookViewId="0">
      <selection activeCell="I9" sqref="I9"/>
    </sheetView>
  </sheetViews>
  <sheetFormatPr defaultRowHeight="14.25" x14ac:dyDescent="0.45"/>
  <cols>
    <col min="3" max="3" width="18.19921875" customWidth="1"/>
    <col min="5" max="6" width="10.1328125" bestFit="1" customWidth="1"/>
  </cols>
  <sheetData>
    <row r="1" spans="1:7" ht="28.5" x14ac:dyDescent="0.45">
      <c r="A1" s="4" t="s">
        <v>38</v>
      </c>
      <c r="B1" s="3" t="s">
        <v>39</v>
      </c>
      <c r="C1" s="3" t="s">
        <v>40</v>
      </c>
      <c r="D1" s="3" t="s">
        <v>61</v>
      </c>
      <c r="E1" s="3" t="s">
        <v>62</v>
      </c>
      <c r="F1" s="3" t="s">
        <v>63</v>
      </c>
      <c r="G1" s="3" t="s">
        <v>64</v>
      </c>
    </row>
    <row r="2" spans="1:7" x14ac:dyDescent="0.45">
      <c r="A2" s="3" t="s">
        <v>41</v>
      </c>
      <c r="B2" t="s">
        <v>42</v>
      </c>
      <c r="C2" s="5">
        <v>25000</v>
      </c>
      <c r="D2" s="5">
        <f>C2*15%</f>
        <v>3750</v>
      </c>
      <c r="E2" s="5">
        <f>C2*200%</f>
        <v>50000</v>
      </c>
      <c r="F2" s="5">
        <f>SUM(C2:E2)</f>
        <v>78750</v>
      </c>
      <c r="G2">
        <f>IF(F2&gt;200000,F2*30%,IF(F2&gt;150000,F2*20%,IF(F2&gt;125000,F2*10%,0)))</f>
        <v>0</v>
      </c>
    </row>
    <row r="3" spans="1:7" x14ac:dyDescent="0.45">
      <c r="A3" t="s">
        <v>43</v>
      </c>
      <c r="B3" t="s">
        <v>44</v>
      </c>
      <c r="C3" s="5">
        <v>76000</v>
      </c>
      <c r="D3" s="5">
        <f t="shared" ref="D3:D11" si="0">C3*15%</f>
        <v>11400</v>
      </c>
      <c r="E3" s="5">
        <f t="shared" ref="E3:E11" si="1">C3*200%</f>
        <v>152000</v>
      </c>
      <c r="F3" s="5">
        <f t="shared" ref="F3:F11" si="2">SUM(C3:E3)</f>
        <v>239400</v>
      </c>
      <c r="G3">
        <f t="shared" ref="G3:G11" si="3">IF(F3&gt;200000,F3*30%,IF(F3&gt;150000,F3*20%,IF(F3&gt;125000,F3*10%,0)))</f>
        <v>71820</v>
      </c>
    </row>
    <row r="4" spans="1:7" x14ac:dyDescent="0.45">
      <c r="A4" t="s">
        <v>45</v>
      </c>
      <c r="B4" t="s">
        <v>46</v>
      </c>
      <c r="C4" s="5">
        <v>56000</v>
      </c>
      <c r="D4" s="5">
        <f t="shared" si="0"/>
        <v>8400</v>
      </c>
      <c r="E4" s="5">
        <f t="shared" si="1"/>
        <v>112000</v>
      </c>
      <c r="F4" s="5">
        <f t="shared" si="2"/>
        <v>176400</v>
      </c>
      <c r="G4">
        <f t="shared" si="3"/>
        <v>35280</v>
      </c>
    </row>
    <row r="5" spans="1:7" x14ac:dyDescent="0.45">
      <c r="A5" t="s">
        <v>47</v>
      </c>
      <c r="B5" t="s">
        <v>48</v>
      </c>
      <c r="C5" s="5">
        <v>45050</v>
      </c>
      <c r="D5" s="5">
        <f t="shared" si="0"/>
        <v>6757.5</v>
      </c>
      <c r="E5" s="5">
        <f t="shared" si="1"/>
        <v>90100</v>
      </c>
      <c r="F5" s="5">
        <f t="shared" si="2"/>
        <v>141907.5</v>
      </c>
      <c r="G5">
        <f t="shared" si="3"/>
        <v>14190.75</v>
      </c>
    </row>
    <row r="6" spans="1:7" x14ac:dyDescent="0.45">
      <c r="A6" t="s">
        <v>49</v>
      </c>
      <c r="B6" t="s">
        <v>50</v>
      </c>
      <c r="C6" s="5">
        <v>62000</v>
      </c>
      <c r="D6" s="5">
        <f t="shared" si="0"/>
        <v>9300</v>
      </c>
      <c r="E6" s="5">
        <f t="shared" si="1"/>
        <v>124000</v>
      </c>
      <c r="F6" s="5">
        <f t="shared" si="2"/>
        <v>195300</v>
      </c>
      <c r="G6">
        <f t="shared" si="3"/>
        <v>39060</v>
      </c>
    </row>
    <row r="7" spans="1:7" x14ac:dyDescent="0.45">
      <c r="A7" t="s">
        <v>51</v>
      </c>
      <c r="B7" t="s">
        <v>52</v>
      </c>
      <c r="C7" s="5">
        <v>87000</v>
      </c>
      <c r="D7" s="5">
        <f t="shared" si="0"/>
        <v>13050</v>
      </c>
      <c r="E7" s="5">
        <f t="shared" si="1"/>
        <v>174000</v>
      </c>
      <c r="F7" s="5">
        <f t="shared" si="2"/>
        <v>274050</v>
      </c>
      <c r="G7">
        <f t="shared" si="3"/>
        <v>82215</v>
      </c>
    </row>
    <row r="8" spans="1:7" x14ac:dyDescent="0.45">
      <c r="A8" t="s">
        <v>53</v>
      </c>
      <c r="B8" t="s">
        <v>54</v>
      </c>
      <c r="C8" s="5">
        <v>77800</v>
      </c>
      <c r="D8" s="5">
        <f t="shared" si="0"/>
        <v>11670</v>
      </c>
      <c r="E8" s="5">
        <f t="shared" si="1"/>
        <v>155600</v>
      </c>
      <c r="F8" s="5">
        <f t="shared" si="2"/>
        <v>245070</v>
      </c>
      <c r="G8">
        <f t="shared" si="3"/>
        <v>73521</v>
      </c>
    </row>
    <row r="9" spans="1:7" x14ac:dyDescent="0.45">
      <c r="A9" t="s">
        <v>55</v>
      </c>
      <c r="B9" t="s">
        <v>56</v>
      </c>
      <c r="C9" s="5">
        <v>64000</v>
      </c>
      <c r="D9" s="5">
        <f t="shared" si="0"/>
        <v>9600</v>
      </c>
      <c r="E9" s="5">
        <f>C9*200%</f>
        <v>128000</v>
      </c>
      <c r="F9" s="5">
        <f>SUM(C9:E9)</f>
        <v>201600</v>
      </c>
      <c r="G9">
        <f t="shared" si="3"/>
        <v>60480</v>
      </c>
    </row>
    <row r="10" spans="1:7" x14ac:dyDescent="0.45">
      <c r="A10" t="s">
        <v>57</v>
      </c>
      <c r="B10" t="s">
        <v>58</v>
      </c>
      <c r="C10" s="5">
        <v>87000</v>
      </c>
      <c r="D10" s="5">
        <f t="shared" si="0"/>
        <v>13050</v>
      </c>
      <c r="E10" s="5">
        <f t="shared" si="1"/>
        <v>174000</v>
      </c>
      <c r="F10" s="5">
        <f t="shared" si="2"/>
        <v>274050</v>
      </c>
      <c r="G10">
        <f t="shared" si="3"/>
        <v>82215</v>
      </c>
    </row>
    <row r="11" spans="1:7" x14ac:dyDescent="0.45">
      <c r="A11" t="s">
        <v>59</v>
      </c>
      <c r="B11" t="s">
        <v>60</v>
      </c>
      <c r="C11" s="5">
        <v>56090</v>
      </c>
      <c r="D11" s="5">
        <f t="shared" si="0"/>
        <v>8413.5</v>
      </c>
      <c r="E11" s="5">
        <f t="shared" si="1"/>
        <v>112180</v>
      </c>
      <c r="F11" s="5">
        <f t="shared" si="2"/>
        <v>176683.5</v>
      </c>
      <c r="G11">
        <f t="shared" si="3"/>
        <v>35336.700000000004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shrutikamnani@outlook.com</dc:creator>
  <cp:lastModifiedBy>shrutikamnani@outlook.com</cp:lastModifiedBy>
  <dcterms:created xsi:type="dcterms:W3CDTF">2025-11-13T17:14:05Z</dcterms:created>
  <dcterms:modified xsi:type="dcterms:W3CDTF">2025-11-13T18:58:08Z</dcterms:modified>
</cp:coreProperties>
</file>